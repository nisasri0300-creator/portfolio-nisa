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rade Tracker" sheetId="2" state="visible" r:id="rId2"/>
    <sheet xmlns:r="http://schemas.openxmlformats.org/officeDocument/2006/relationships" name="Learning Outcome" sheetId="3" state="visible" r:id="rId3"/>
    <sheet xmlns:r="http://schemas.openxmlformats.org/officeDocument/2006/relationships" name="Student Data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1" hidden="1">'Grade Tracker'!$A$1:$K$33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18263D"/>
      <sz val="25"/>
    </font>
    <font>
      <color rgb="005E6875"/>
      <sz val="12"/>
    </font>
    <font>
      <b val="1"/>
      <color rgb="005E6875"/>
      <sz val="10"/>
    </font>
    <font>
      <b val="1"/>
      <color rgb="0018263D"/>
      <sz val="12"/>
    </font>
    <font>
      <b val="1"/>
      <color rgb="0018263D"/>
      <sz val="13"/>
    </font>
    <font>
      <b val="1"/>
      <color rgb="0018263D"/>
      <sz val="22"/>
    </font>
    <font>
      <color rgb="005E6875"/>
      <sz val="9"/>
    </font>
    <font>
      <b val="1"/>
      <color rgb="0018263D"/>
      <sz val="15"/>
    </font>
    <font>
      <b val="1"/>
      <color rgb="0018263D"/>
      <sz val="11"/>
    </font>
  </fonts>
  <fills count="5">
    <fill>
      <patternFill/>
    </fill>
    <fill>
      <patternFill patternType="gray125"/>
    </fill>
    <fill>
      <patternFill patternType="solid">
        <fgColor rgb="0018263D"/>
      </patternFill>
    </fill>
    <fill>
      <patternFill patternType="solid">
        <fgColor rgb="00F6F2E9"/>
      </patternFill>
    </fill>
    <fill>
      <patternFill patternType="solid">
        <fgColor rgb="00FFFDF8"/>
      </patternFill>
    </fill>
  </fills>
  <borders count="11">
    <border>
      <left/>
      <right/>
      <top/>
      <bottom/>
      <diagonal/>
    </border>
    <border>
      <left style="thin">
        <color rgb="00DDD8CC"/>
      </left>
      <right style="thin">
        <color rgb="00DDD8CC"/>
      </right>
      <top style="thin">
        <color rgb="00DDD8CC"/>
      </top>
      <bottom style="thin">
        <color rgb="00DDD8CC"/>
      </bottom>
    </border>
    <border>
      <left/>
      <right/>
      <top style="thin">
        <color rgb="00DDD8CC"/>
      </top>
      <bottom/>
      <diagonal/>
    </border>
    <border>
      <left style="thin">
        <color rgb="00DDD8CC"/>
      </left>
      <right/>
      <top/>
      <bottom/>
      <diagonal/>
    </border>
    <border>
      <left/>
      <right style="thin">
        <color rgb="00DDD8CC"/>
      </right>
      <top style="thin">
        <color rgb="00DDD8CC"/>
      </top>
      <bottom/>
      <diagonal/>
    </border>
    <border>
      <left/>
      <right style="thin">
        <color rgb="00DDD8CC"/>
      </right>
      <top/>
      <bottom/>
      <diagonal/>
    </border>
    <border>
      <left style="thin">
        <color rgb="00DDD8CC"/>
      </left>
      <right/>
      <top/>
      <bottom style="thin">
        <color rgb="00DDD8CC"/>
      </bottom>
      <diagonal/>
    </border>
    <border>
      <left/>
      <right/>
      <top/>
      <bottom style="thin">
        <color rgb="00DDD8CC"/>
      </bottom>
      <diagonal/>
    </border>
    <border>
      <left/>
      <right style="thin">
        <color rgb="00DDD8CC"/>
      </right>
      <top/>
      <bottom style="thin">
        <color rgb="00DDD8CC"/>
      </bottom>
      <diagonal/>
    </border>
    <border>
      <left/>
      <right/>
      <top style="thin">
        <color rgb="00DDD8CC"/>
      </top>
      <bottom style="thin">
        <color rgb="00DDD8CC"/>
      </bottom>
      <diagonal/>
    </border>
    <border>
      <left/>
      <right style="thin">
        <color rgb="00DDD8CC"/>
      </right>
      <top style="thin">
        <color rgb="00DDD8CC"/>
      </top>
      <bottom style="thin">
        <color rgb="00DDD8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vertical="center"/>
    </xf>
    <xf numFmtId="0" fontId="3" fillId="3" borderId="0" pivotButton="0" quotePrefix="0" xfId="0"/>
    <xf numFmtId="0" fontId="4" fillId="3" borderId="0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vertical="center"/>
    </xf>
    <xf numFmtId="0" fontId="0" fillId="0" borderId="1" pivotButton="0" quotePrefix="0" xfId="0"/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9" fontId="7" fillId="0" borderId="1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3" borderId="0" pivotButton="0" quotePrefix="0" xfId="0"/>
    <xf numFmtId="0" fontId="0" fillId="3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10" fillId="4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2D9D5"/>
        </patternFill>
      </fill>
    </dxf>
    <dxf>
      <fill>
        <patternFill patternType="solid">
          <fgColor rgb="00DCE9DE"/>
        </patternFill>
      </fill>
    </dxf>
    <dxf>
      <fill>
        <patternFill patternType="solid">
          <fgColor rgb="00F2E3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'Dashboard'!$B$13:$B$17</f>
            </numRef>
          </cat>
          <val>
            <numRef>
              <f>'Dashboard'!$C$13:$C$17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Grade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Assessment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'Dashboard'!$F$13:$F$17</f>
            </numRef>
          </cat>
          <val>
            <numRef>
              <f>'Dashboard'!$G$13:$G$17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Assessment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'Dashboard'!K13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'Dashboard'!$J$14:$J$16</f>
            </numRef>
          </cat>
          <val>
            <numRef>
              <f>'Dashboard'!$K$14:$K$16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17</row>
      <rowOff>0</rowOff>
    </from>
    <ext cx="28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Data" displayName="StudentData" ref="A1:C33" headerRowCount="1">
  <autoFilter ref="A1:C33"/>
  <tableColumns count="3">
    <tableColumn id="1" name="Student ID"/>
    <tableColumn id="2" name="Student Name"/>
    <tableColumn id="3" name="Clas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8263D"/>
    <outlinePr summaryBelow="1" summaryRight="1"/>
    <pageSetUpPr fitToPage="1"/>
  </sheetPr>
  <dimension ref="A1:O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4" customWidth="1" min="5" max="5"/>
    <col width="18" customWidth="1" min="6" max="6"/>
    <col width="18" customWidth="1" min="7" max="7"/>
    <col width="18" customWidth="1" min="8" max="8"/>
    <col width="4" customWidth="1" min="9" max="9"/>
    <col width="18" customWidth="1" min="10" max="10"/>
    <col width="18" customWidth="1" min="11" max="11"/>
    <col width="18" customWidth="1" min="12" max="12"/>
    <col width="4" customWidth="1" min="13" max="13"/>
    <col width="18" customWidth="1" min="14" max="14"/>
    <col width="18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Interactive Teaching Dashboard</t>
        </is>
      </c>
    </row>
    <row r="3">
      <c r="A3" s="1" t="n"/>
      <c r="B3" s="3" t="inlineStr">
        <is>
          <t>Track progress. Understand learning. Support every student.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4" t="inlineStr">
        <is>
          <t>Class</t>
        </is>
      </c>
      <c r="C5" s="5" t="inlineStr">
        <is>
          <t>10A</t>
        </is>
      </c>
      <c r="D5" s="1" t="n"/>
      <c r="E5" s="1" t="n"/>
      <c r="F5" s="4" t="inlineStr">
        <is>
          <t>Subject</t>
        </is>
      </c>
      <c r="G5" s="5" t="inlineStr">
        <is>
          <t>Mathematics</t>
        </is>
      </c>
      <c r="H5" s="1" t="n"/>
      <c r="I5" s="1" t="n"/>
      <c r="J5" s="4" t="inlineStr">
        <is>
          <t>Semester</t>
        </is>
      </c>
      <c r="K5" s="5" t="inlineStr">
        <is>
          <t>Genap 2024/2025</t>
        </is>
      </c>
      <c r="L5" s="1" t="n"/>
      <c r="M5" s="1" t="n"/>
      <c r="N5" s="1" t="n"/>
      <c r="O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24" customHeight="1">
      <c r="A7" s="1" t="n"/>
      <c r="B7" s="6" t="inlineStr">
        <is>
          <t>Total Students</t>
        </is>
      </c>
      <c r="C7" s="7" t="n"/>
      <c r="D7" s="7" t="n"/>
      <c r="E7" s="1" t="n"/>
      <c r="F7" s="6" t="inlineStr">
        <is>
          <t>Class Average</t>
        </is>
      </c>
      <c r="G7" s="7" t="n"/>
      <c r="H7" s="7" t="n"/>
      <c r="I7" s="1" t="n"/>
      <c r="J7" s="6" t="inlineStr">
        <is>
          <t>Passing Rate</t>
        </is>
      </c>
      <c r="K7" s="7" t="n"/>
      <c r="L7" s="7" t="n"/>
      <c r="M7" s="1" t="n"/>
      <c r="N7" s="6" t="inlineStr">
        <is>
          <t>Highest Score</t>
        </is>
      </c>
      <c r="O7" s="7" t="n"/>
    </row>
    <row r="8" ht="24" customHeight="1">
      <c r="A8" s="1" t="n"/>
      <c r="B8" s="8">
        <f>COUNTA('Student Data'!A2:A33)</f>
        <v/>
      </c>
      <c r="C8" s="7" t="n"/>
      <c r="D8" s="7" t="n"/>
      <c r="E8" s="1" t="n"/>
      <c r="F8" s="9">
        <f>AVERAGE('Grade Tracker'!I2:I33)</f>
        <v/>
      </c>
      <c r="G8" s="7" t="n"/>
      <c r="H8" s="7" t="n"/>
      <c r="I8" s="1" t="n"/>
      <c r="J8" s="10">
        <f>COUNTIF('Grade Tracker'!K2:K33,"Passed")/COUNTA('Grade Tracker'!A2:A33)</f>
        <v/>
      </c>
      <c r="K8" s="7" t="n"/>
      <c r="L8" s="7" t="n"/>
      <c r="M8" s="1" t="n"/>
      <c r="N8" s="11">
        <f>MAX('Grade Tracker'!I2:I33)</f>
        <v/>
      </c>
      <c r="O8" s="7" t="n"/>
    </row>
    <row r="9" ht="24" customHeight="1">
      <c r="A9" s="1" t="n"/>
      <c r="E9" s="1" t="n"/>
      <c r="I9" s="1" t="n"/>
      <c r="M9" s="1" t="n"/>
    </row>
    <row r="10" ht="24" customHeight="1">
      <c r="A10" s="1" t="n"/>
      <c r="B10" s="12" t="inlineStr">
        <is>
          <t>Active students</t>
        </is>
      </c>
      <c r="C10" s="7" t="n"/>
      <c r="D10" s="7" t="n"/>
      <c r="E10" s="1" t="n"/>
      <c r="F10" s="12" t="inlineStr">
        <is>
          <t>vs. last assessment</t>
        </is>
      </c>
      <c r="G10" s="7" t="n"/>
      <c r="H10" s="7" t="n"/>
      <c r="I10" s="1" t="n"/>
      <c r="J10" s="12" t="inlineStr">
        <is>
          <t>28 of 32 students</t>
        </is>
      </c>
      <c r="K10" s="7" t="n"/>
      <c r="L10" s="7" t="n"/>
      <c r="M10" s="1" t="n"/>
      <c r="N10" s="12" t="inlineStr">
        <is>
          <t>Excellent!</t>
        </is>
      </c>
      <c r="O10" s="7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idden="1">
      <c r="A12" s="1" t="n"/>
      <c r="B12" s="13" t="inlineStr">
        <is>
          <t>Grade Distribution</t>
        </is>
      </c>
      <c r="C12" s="1" t="n"/>
      <c r="D12" s="1" t="n"/>
      <c r="E12" s="1" t="n"/>
      <c r="F12" s="13" t="inlineStr">
        <is>
          <t>Average Score by Assessment</t>
        </is>
      </c>
      <c r="G12" s="1" t="n"/>
      <c r="H12" s="1" t="n"/>
      <c r="I12" s="1" t="n"/>
      <c r="J12" s="13" t="inlineStr">
        <is>
          <t>Student Performance Overview</t>
        </is>
      </c>
      <c r="K12" s="1" t="n"/>
      <c r="L12" s="1" t="n"/>
      <c r="M12" s="1" t="n"/>
      <c r="N12" s="1" t="n"/>
      <c r="O12" s="1" t="n"/>
    </row>
    <row r="13" hidden="1">
      <c r="A13" s="1" t="n"/>
      <c r="B13" s="14" t="inlineStr">
        <is>
          <t>A</t>
        </is>
      </c>
      <c r="C13" s="14">
        <f>COUNTIF('Grade Tracker'!$J$2:$J$33,B13)</f>
        <v/>
      </c>
      <c r="D13" s="1" t="n"/>
      <c r="E13" s="1" t="n"/>
      <c r="F13" s="14" t="inlineStr">
        <is>
          <t>Assignment</t>
        </is>
      </c>
      <c r="G13" s="14">
        <f>AVERAGE('Grade Tracker'!$D$2:$D$33)</f>
        <v/>
      </c>
      <c r="H13" s="1" t="n"/>
      <c r="I13" s="1" t="n"/>
      <c r="J13" s="1" t="inlineStr">
        <is>
          <t>Status</t>
        </is>
      </c>
      <c r="K13" s="1" t="inlineStr">
        <is>
          <t>Students</t>
        </is>
      </c>
      <c r="L13" s="1" t="n"/>
      <c r="M13" s="1" t="n"/>
      <c r="N13" s="1" t="n"/>
      <c r="O13" s="1" t="n"/>
    </row>
    <row r="14" hidden="1">
      <c r="A14" s="1" t="n"/>
      <c r="B14" s="14" t="inlineStr">
        <is>
          <t>B</t>
        </is>
      </c>
      <c r="C14" s="14">
        <f>COUNTIF('Grade Tracker'!$J$2:$J$33,B14)</f>
        <v/>
      </c>
      <c r="D14" s="1" t="n"/>
      <c r="E14" s="1" t="n"/>
      <c r="F14" s="14" t="inlineStr">
        <is>
          <t>Quiz</t>
        </is>
      </c>
      <c r="G14" s="14">
        <f>AVERAGE('Grade Tracker'!$E$2:$E$33)</f>
        <v/>
      </c>
      <c r="H14" s="1" t="n"/>
      <c r="I14" s="1" t="n"/>
      <c r="J14" s="14" t="inlineStr">
        <is>
          <t>Passed</t>
        </is>
      </c>
      <c r="K14" s="14">
        <f>COUNTIF('Grade Tracker'!$K$2:$K$33,J14)</f>
        <v/>
      </c>
      <c r="L14" s="1" t="n"/>
      <c r="M14" s="1" t="n"/>
      <c r="N14" s="1" t="n"/>
      <c r="O14" s="1" t="n"/>
    </row>
    <row r="15" hidden="1">
      <c r="A15" s="1" t="n"/>
      <c r="B15" s="14" t="inlineStr">
        <is>
          <t>C</t>
        </is>
      </c>
      <c r="C15" s="14">
        <f>COUNTIF('Grade Tracker'!$J$2:$J$33,B15)</f>
        <v/>
      </c>
      <c r="D15" s="1" t="n"/>
      <c r="E15" s="1" t="n"/>
      <c r="F15" s="14" t="inlineStr">
        <is>
          <t>Practical</t>
        </is>
      </c>
      <c r="G15" s="14">
        <f>AVERAGE('Grade Tracker'!$F$2:$F$33)</f>
        <v/>
      </c>
      <c r="H15" s="1" t="n"/>
      <c r="I15" s="1" t="n"/>
      <c r="J15" s="14" t="inlineStr">
        <is>
          <t>Remedial</t>
        </is>
      </c>
      <c r="K15" s="14">
        <f>COUNTIF('Grade Tracker'!$K$2:$K$33,J15)</f>
        <v/>
      </c>
      <c r="L15" s="1" t="n"/>
      <c r="M15" s="1" t="n"/>
      <c r="N15" s="1" t="n"/>
      <c r="O15" s="1" t="n"/>
    </row>
    <row r="16" hidden="1">
      <c r="A16" s="1" t="n"/>
      <c r="B16" s="14" t="inlineStr">
        <is>
          <t>D</t>
        </is>
      </c>
      <c r="C16" s="14">
        <f>COUNTIF('Grade Tracker'!$J$2:$J$33,B16)</f>
        <v/>
      </c>
      <c r="D16" s="1" t="n"/>
      <c r="E16" s="1" t="n"/>
      <c r="F16" s="14" t="inlineStr">
        <is>
          <t>Midterm</t>
        </is>
      </c>
      <c r="G16" s="14">
        <f>AVERAGE('Grade Tracker'!$G$2:$G$33)</f>
        <v/>
      </c>
      <c r="H16" s="1" t="n"/>
      <c r="I16" s="1" t="n"/>
      <c r="J16" s="14" t="inlineStr">
        <is>
          <t>Fail</t>
        </is>
      </c>
      <c r="K16" s="14">
        <f>COUNTIF('Grade Tracker'!$K$2:$K$33,J16)</f>
        <v/>
      </c>
      <c r="L16" s="1" t="n"/>
      <c r="M16" s="1" t="n"/>
      <c r="N16" s="1" t="n"/>
      <c r="O16" s="1" t="n"/>
    </row>
    <row r="17" hidden="1">
      <c r="A17" s="1" t="n"/>
      <c r="B17" s="14" t="inlineStr">
        <is>
          <t>F</t>
        </is>
      </c>
      <c r="C17" s="14">
        <f>COUNTIF('Grade Tracker'!$J$2:$J$33,B17)</f>
        <v/>
      </c>
      <c r="D17" s="1" t="n"/>
      <c r="E17" s="1" t="n"/>
      <c r="F17" s="14" t="inlineStr">
        <is>
          <t>Final Exam</t>
        </is>
      </c>
      <c r="G17" s="14">
        <f>AVERAGE('Grade Tracker'!$H$2:$H$33)</f>
        <v/>
      </c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A31" s="1" t="n"/>
      <c r="B31" s="13" t="inlineStr">
        <is>
          <t>Top &amp; Lowest Performing Students</t>
        </is>
      </c>
      <c r="C31" s="1" t="n"/>
      <c r="D31" s="1" t="n"/>
      <c r="E31" s="1" t="n"/>
      <c r="F31" s="1" t="n"/>
      <c r="G31" s="1" t="n"/>
      <c r="H31" s="1" t="n"/>
      <c r="I31" s="1" t="n"/>
      <c r="J31" s="13" t="inlineStr">
        <is>
          <t>Learning Outcome Analysis</t>
        </is>
      </c>
      <c r="K31" s="1" t="n"/>
      <c r="L31" s="1" t="n"/>
      <c r="M31" s="1" t="n"/>
      <c r="N31" s="1" t="n"/>
      <c r="O31" s="1" t="n"/>
    </row>
    <row r="32" ht="22" customHeight="1">
      <c r="A32" s="1" t="n"/>
      <c r="B32" s="15" t="inlineStr">
        <is>
          <t>#</t>
        </is>
      </c>
      <c r="C32" s="15" t="inlineStr">
        <is>
          <t>Student ID</t>
        </is>
      </c>
      <c r="D32" s="15" t="inlineStr">
        <is>
          <t>Name</t>
        </is>
      </c>
      <c r="E32" s="15" t="inlineStr">
        <is>
          <t>Final Score</t>
        </is>
      </c>
      <c r="F32" s="15" t="inlineStr">
        <is>
          <t>Grade</t>
        </is>
      </c>
      <c r="G32" s="15" t="inlineStr">
        <is>
          <t>Status</t>
        </is>
      </c>
      <c r="H32" s="1" t="n"/>
      <c r="I32" s="1" t="n"/>
      <c r="J32" s="16" t="inlineStr">
        <is>
          <t>Learning Outcome</t>
        </is>
      </c>
      <c r="K32" s="16" t="inlineStr">
        <is>
          <t>Average</t>
        </is>
      </c>
      <c r="L32" s="16" t="inlineStr">
        <is>
          <t>Achievement</t>
        </is>
      </c>
      <c r="M32" s="16" t="inlineStr">
        <is>
          <t>Status</t>
        </is>
      </c>
      <c r="N32" s="1" t="n"/>
      <c r="O32" s="1" t="n"/>
    </row>
    <row r="33" ht="22" customHeight="1">
      <c r="A33" s="1" t="n"/>
      <c r="B33" s="17" t="n">
        <v>1</v>
      </c>
      <c r="C33" s="17" t="inlineStr">
        <is>
          <t>S012</t>
        </is>
      </c>
      <c r="D33" s="17" t="inlineStr">
        <is>
          <t>Alisha Putri</t>
        </is>
      </c>
      <c r="E33" s="17" t="n">
        <v>96</v>
      </c>
      <c r="F33" s="17" t="inlineStr">
        <is>
          <t>A</t>
        </is>
      </c>
      <c r="G33" s="17" t="inlineStr">
        <is>
          <t>Passed</t>
        </is>
      </c>
      <c r="H33" s="1" t="n"/>
      <c r="I33" s="1" t="n"/>
      <c r="J33" s="17">
        <f>'Learning Outcome'!A2</f>
        <v/>
      </c>
      <c r="K33" s="17">
        <f>'Learning Outcome'!B2</f>
        <v/>
      </c>
      <c r="L33" s="18">
        <f>'Learning Outcome'!C2</f>
        <v/>
      </c>
      <c r="M33" s="17">
        <f>'Learning Outcome'!D2</f>
        <v/>
      </c>
      <c r="N33" s="1" t="n"/>
      <c r="O33" s="1" t="n"/>
    </row>
    <row r="34" ht="22" customHeight="1">
      <c r="A34" s="1" t="n"/>
      <c r="B34" s="17" t="n">
        <v>2</v>
      </c>
      <c r="C34" s="17" t="inlineStr">
        <is>
          <t>S025</t>
        </is>
      </c>
      <c r="D34" s="17" t="inlineStr">
        <is>
          <t>Darren Alvaro</t>
        </is>
      </c>
      <c r="E34" s="17" t="n">
        <v>94</v>
      </c>
      <c r="F34" s="17" t="inlineStr">
        <is>
          <t>A</t>
        </is>
      </c>
      <c r="G34" s="17" t="inlineStr">
        <is>
          <t>Passed</t>
        </is>
      </c>
      <c r="H34" s="1" t="n"/>
      <c r="I34" s="1" t="n"/>
      <c r="J34" s="17">
        <f>'Learning Outcome'!A3</f>
        <v/>
      </c>
      <c r="K34" s="17">
        <f>'Learning Outcome'!B3</f>
        <v/>
      </c>
      <c r="L34" s="18">
        <f>'Learning Outcome'!C3</f>
        <v/>
      </c>
      <c r="M34" s="17">
        <f>'Learning Outcome'!D3</f>
        <v/>
      </c>
      <c r="N34" s="1" t="n"/>
      <c r="O34" s="1" t="n"/>
    </row>
    <row r="35" ht="22" customHeight="1">
      <c r="A35" s="1" t="n"/>
      <c r="B35" s="17" t="n">
        <v>3</v>
      </c>
      <c r="C35" s="17" t="inlineStr">
        <is>
          <t>S007</t>
        </is>
      </c>
      <c r="D35" s="17" t="inlineStr">
        <is>
          <t>Keisha Anindya</t>
        </is>
      </c>
      <c r="E35" s="17" t="n">
        <v>95</v>
      </c>
      <c r="F35" s="17" t="inlineStr">
        <is>
          <t>A</t>
        </is>
      </c>
      <c r="G35" s="17" t="inlineStr">
        <is>
          <t>Passed</t>
        </is>
      </c>
      <c r="H35" s="1" t="n"/>
      <c r="I35" s="1" t="n"/>
      <c r="J35" s="17">
        <f>'Learning Outcome'!A4</f>
        <v/>
      </c>
      <c r="K35" s="17">
        <f>'Learning Outcome'!B4</f>
        <v/>
      </c>
      <c r="L35" s="18">
        <f>'Learning Outcome'!C4</f>
        <v/>
      </c>
      <c r="M35" s="17">
        <f>'Learning Outcome'!D4</f>
        <v/>
      </c>
      <c r="N35" s="1" t="n"/>
      <c r="O35" s="1" t="n"/>
    </row>
    <row r="36" ht="22" customHeight="1">
      <c r="A36" s="1" t="n"/>
      <c r="B36" s="17" t="n">
        <v>31</v>
      </c>
      <c r="C36" s="17" t="inlineStr">
        <is>
          <t>S031</t>
        </is>
      </c>
      <c r="D36" s="17" t="inlineStr">
        <is>
          <t>Rizky Pratama</t>
        </is>
      </c>
      <c r="E36" s="17" t="n">
        <v>64</v>
      </c>
      <c r="F36" s="17" t="inlineStr">
        <is>
          <t>D</t>
        </is>
      </c>
      <c r="G36" s="17" t="inlineStr">
        <is>
          <t>Remedial</t>
        </is>
      </c>
      <c r="H36" s="1" t="n"/>
      <c r="I36" s="1" t="n"/>
      <c r="J36" s="17">
        <f>'Learning Outcome'!A5</f>
        <v/>
      </c>
      <c r="K36" s="17">
        <f>'Learning Outcome'!B5</f>
        <v/>
      </c>
      <c r="L36" s="18">
        <f>'Learning Outcome'!C5</f>
        <v/>
      </c>
      <c r="M36" s="17">
        <f>'Learning Outcome'!D5</f>
        <v/>
      </c>
      <c r="N36" s="1" t="n"/>
      <c r="O36" s="1" t="n"/>
    </row>
    <row r="37" ht="22" customHeight="1">
      <c r="B37" s="19" t="n">
        <v>32</v>
      </c>
      <c r="C37" s="19" t="inlineStr">
        <is>
          <t>S032</t>
        </is>
      </c>
      <c r="D37" s="19" t="inlineStr">
        <is>
          <t>Nabila Zahra</t>
        </is>
      </c>
      <c r="E37" s="19" t="n">
        <v>61</v>
      </c>
      <c r="F37" s="19" t="inlineStr">
        <is>
          <t>D</t>
        </is>
      </c>
      <c r="G37" s="19" t="inlineStr">
        <is>
          <t>Remedial</t>
        </is>
      </c>
      <c r="J37" s="19">
        <f>'Learning Outcome'!A6</f>
        <v/>
      </c>
      <c r="K37" s="19">
        <f>'Learning Outcome'!B6</f>
        <v/>
      </c>
      <c r="L37" s="20">
        <f>'Learning Outcome'!C6</f>
        <v/>
      </c>
      <c r="M37" s="19">
        <f>'Learning Outcome'!D6</f>
        <v/>
      </c>
    </row>
    <row r="38"/>
    <row r="39">
      <c r="B39" s="21" t="inlineStr">
        <is>
          <t>INSIGHT  |  Most students have mastered basic concepts, but analysis skills (LO3) need more attention. Consider additional practice and remedial activities.</t>
        </is>
      </c>
    </row>
    <row r="40"/>
    <row r="41"/>
  </sheetData>
  <mergeCells count="15">
    <mergeCell ref="B10:D10"/>
    <mergeCell ref="J7:L7"/>
    <mergeCell ref="F10:H10"/>
    <mergeCell ref="J10:L10"/>
    <mergeCell ref="B39:O41"/>
    <mergeCell ref="N7:O7"/>
    <mergeCell ref="B2:O2"/>
    <mergeCell ref="N10:O10"/>
    <mergeCell ref="B3:O3"/>
    <mergeCell ref="F8:H9"/>
    <mergeCell ref="J8:L9"/>
    <mergeCell ref="F7:H7"/>
    <mergeCell ref="B7:D7"/>
    <mergeCell ref="B8:D9"/>
    <mergeCell ref="N8:O9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AFC3D1"/>
    <outlinePr summaryBelow="1" summaryRight="1"/>
    <pageSetUpPr/>
  </sheetPr>
  <dimension ref="A1:K3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3" customWidth="1" min="4" max="4"/>
    <col width="10" customWidth="1" min="5" max="5"/>
    <col width="12" customWidth="1" min="6" max="6"/>
    <col width="11" customWidth="1" min="7" max="7"/>
    <col width="12" customWidth="1" min="8" max="8"/>
    <col width="12" customWidth="1" min="9" max="9"/>
    <col width="10" customWidth="1" min="10" max="10"/>
    <col width="13" customWidth="1" min="11" max="11"/>
  </cols>
  <sheetData>
    <row r="1">
      <c r="A1" s="15" t="inlineStr">
        <is>
          <t>Student ID</t>
        </is>
      </c>
      <c r="B1" s="15" t="inlineStr">
        <is>
          <t>Student Name</t>
        </is>
      </c>
      <c r="C1" s="15" t="inlineStr">
        <is>
          <t>Class</t>
        </is>
      </c>
      <c r="D1" s="15" t="inlineStr">
        <is>
          <t>Assignment</t>
        </is>
      </c>
      <c r="E1" s="15" t="inlineStr">
        <is>
          <t>Quiz</t>
        </is>
      </c>
      <c r="F1" s="15" t="inlineStr">
        <is>
          <t>Practical</t>
        </is>
      </c>
      <c r="G1" s="15" t="inlineStr">
        <is>
          <t>Midterm</t>
        </is>
      </c>
      <c r="H1" s="15" t="inlineStr">
        <is>
          <t>Final Exam</t>
        </is>
      </c>
      <c r="I1" s="15" t="inlineStr">
        <is>
          <t>Final Score</t>
        </is>
      </c>
      <c r="J1" s="15" t="inlineStr">
        <is>
          <t>Grade</t>
        </is>
      </c>
      <c r="K1" s="15" t="inlineStr">
        <is>
          <t>Status</t>
        </is>
      </c>
    </row>
    <row r="2">
      <c r="A2" s="19" t="inlineStr">
        <is>
          <t>S001</t>
        </is>
      </c>
      <c r="B2" s="19" t="inlineStr">
        <is>
          <t>Alya Rahma</t>
        </is>
      </c>
      <c r="C2" s="19" t="inlineStr">
        <is>
          <t>10A</t>
        </is>
      </c>
      <c r="D2" s="22" t="n">
        <v>78</v>
      </c>
      <c r="E2" s="22" t="n">
        <v>82</v>
      </c>
      <c r="F2" s="22" t="n">
        <v>85</v>
      </c>
      <c r="G2" s="22" t="n">
        <v>80</v>
      </c>
      <c r="H2" s="22" t="n">
        <v>87</v>
      </c>
      <c r="I2" s="22">
        <f>D2*20%+E2*20%+F2*20%+G2*15%+H2*25%</f>
        <v/>
      </c>
      <c r="J2" s="19">
        <f>IF(I2&gt;=90,"A",IF(I2&gt;=80,"B",IF(I2&gt;=70,"C",IF(I2&gt;=60,"D","F"))))</f>
        <v/>
      </c>
      <c r="K2" s="19">
        <f>IF(I2&gt;=70,"Passed",IF(I2&gt;=60,"Remedial","Fail"))</f>
        <v/>
      </c>
    </row>
    <row r="3">
      <c r="A3" s="19" t="inlineStr">
        <is>
          <t>S002</t>
        </is>
      </c>
      <c r="B3" s="19" t="inlineStr">
        <is>
          <t>Bima Pratama</t>
        </is>
      </c>
      <c r="C3" s="19" t="inlineStr">
        <is>
          <t>10A</t>
        </is>
      </c>
      <c r="D3" s="22" t="n">
        <v>84</v>
      </c>
      <c r="E3" s="22" t="n">
        <v>79</v>
      </c>
      <c r="F3" s="22" t="n">
        <v>88</v>
      </c>
      <c r="G3" s="22" t="n">
        <v>83</v>
      </c>
      <c r="H3" s="22" t="n">
        <v>90</v>
      </c>
      <c r="I3" s="22">
        <f>D3*20%+E3*20%+F3*20%+G3*15%+H3*25%</f>
        <v/>
      </c>
      <c r="J3" s="19">
        <f>IF(I3&gt;=90,"A",IF(I3&gt;=80,"B",IF(I3&gt;=70,"C",IF(I3&gt;=60,"D","F"))))</f>
        <v/>
      </c>
      <c r="K3" s="19">
        <f>IF(I3&gt;=70,"Passed",IF(I3&gt;=60,"Remedial","Fail"))</f>
        <v/>
      </c>
    </row>
    <row r="4">
      <c r="A4" s="19" t="inlineStr">
        <is>
          <t>S003</t>
        </is>
      </c>
      <c r="B4" s="19" t="inlineStr">
        <is>
          <t>Citra Lestari</t>
        </is>
      </c>
      <c r="C4" s="19" t="inlineStr">
        <is>
          <t>10A</t>
        </is>
      </c>
      <c r="D4" s="22" t="n">
        <v>76</v>
      </c>
      <c r="E4" s="22" t="n">
        <v>81</v>
      </c>
      <c r="F4" s="22" t="n">
        <v>84</v>
      </c>
      <c r="G4" s="22" t="n">
        <v>79</v>
      </c>
      <c r="H4" s="22" t="n">
        <v>85</v>
      </c>
      <c r="I4" s="22">
        <f>D4*20%+E4*20%+F4*20%+G4*15%+H4*25%</f>
        <v/>
      </c>
      <c r="J4" s="19">
        <f>IF(I4&gt;=90,"A",IF(I4&gt;=80,"B",IF(I4&gt;=70,"C",IF(I4&gt;=60,"D","F"))))</f>
        <v/>
      </c>
      <c r="K4" s="19">
        <f>IF(I4&gt;=70,"Passed",IF(I4&gt;=60,"Remedial","Fail"))</f>
        <v/>
      </c>
    </row>
    <row r="5">
      <c r="A5" s="19" t="inlineStr">
        <is>
          <t>S004</t>
        </is>
      </c>
      <c r="B5" s="19" t="inlineStr">
        <is>
          <t>Daffa Rizky</t>
        </is>
      </c>
      <c r="C5" s="19" t="inlineStr">
        <is>
          <t>10A</t>
        </is>
      </c>
      <c r="D5" s="22" t="n">
        <v>82</v>
      </c>
      <c r="E5" s="22" t="n">
        <v>75</v>
      </c>
      <c r="F5" s="22" t="n">
        <v>80</v>
      </c>
      <c r="G5" s="22" t="n">
        <v>77</v>
      </c>
      <c r="H5" s="22" t="n">
        <v>83</v>
      </c>
      <c r="I5" s="22">
        <f>D5*20%+E5*20%+F5*20%+G5*15%+H5*25%</f>
        <v/>
      </c>
      <c r="J5" s="19">
        <f>IF(I5&gt;=90,"A",IF(I5&gt;=80,"B",IF(I5&gt;=70,"C",IF(I5&gt;=60,"D","F"))))</f>
        <v/>
      </c>
      <c r="K5" s="19">
        <f>IF(I5&gt;=70,"Passed",IF(I5&gt;=60,"Remedial","Fail"))</f>
        <v/>
      </c>
    </row>
    <row r="6">
      <c r="A6" s="19" t="inlineStr">
        <is>
          <t>S005</t>
        </is>
      </c>
      <c r="B6" s="19" t="inlineStr">
        <is>
          <t>Elena Putri</t>
        </is>
      </c>
      <c r="C6" s="19" t="inlineStr">
        <is>
          <t>10A</t>
        </is>
      </c>
      <c r="D6" s="22" t="n">
        <v>88</v>
      </c>
      <c r="E6" s="22" t="n">
        <v>86</v>
      </c>
      <c r="F6" s="22" t="n">
        <v>91</v>
      </c>
      <c r="G6" s="22" t="n">
        <v>89</v>
      </c>
      <c r="H6" s="22" t="n">
        <v>94</v>
      </c>
      <c r="I6" s="22">
        <f>D6*20%+E6*20%+F6*20%+G6*15%+H6*25%</f>
        <v/>
      </c>
      <c r="J6" s="19">
        <f>IF(I6&gt;=90,"A",IF(I6&gt;=80,"B",IF(I6&gt;=70,"C",IF(I6&gt;=60,"D","F"))))</f>
        <v/>
      </c>
      <c r="K6" s="19">
        <f>IF(I6&gt;=70,"Passed",IF(I6&gt;=60,"Remedial","Fail"))</f>
        <v/>
      </c>
    </row>
    <row r="7">
      <c r="A7" s="19" t="inlineStr">
        <is>
          <t>S006</t>
        </is>
      </c>
      <c r="B7" s="19" t="inlineStr">
        <is>
          <t>Farhan Akbar</t>
        </is>
      </c>
      <c r="C7" s="19" t="inlineStr">
        <is>
          <t>10A</t>
        </is>
      </c>
      <c r="D7" s="22" t="n">
        <v>74</v>
      </c>
      <c r="E7" s="22" t="n">
        <v>78</v>
      </c>
      <c r="F7" s="22" t="n">
        <v>80</v>
      </c>
      <c r="G7" s="22" t="n">
        <v>76</v>
      </c>
      <c r="H7" s="22" t="n">
        <v>82</v>
      </c>
      <c r="I7" s="22">
        <f>D7*20%+E7*20%+F7*20%+G7*15%+H7*25%</f>
        <v/>
      </c>
      <c r="J7" s="19">
        <f>IF(I7&gt;=90,"A",IF(I7&gt;=80,"B",IF(I7&gt;=70,"C",IF(I7&gt;=60,"D","F"))))</f>
        <v/>
      </c>
      <c r="K7" s="19">
        <f>IF(I7&gt;=70,"Passed",IF(I7&gt;=60,"Remedial","Fail"))</f>
        <v/>
      </c>
    </row>
    <row r="8">
      <c r="A8" s="19" t="inlineStr">
        <is>
          <t>S007</t>
        </is>
      </c>
      <c r="B8" s="19" t="inlineStr">
        <is>
          <t>Keisha Anindya</t>
        </is>
      </c>
      <c r="C8" s="19" t="inlineStr">
        <is>
          <t>10A</t>
        </is>
      </c>
      <c r="D8" s="22" t="n">
        <v>92</v>
      </c>
      <c r="E8" s="22" t="n">
        <v>90</v>
      </c>
      <c r="F8" s="22" t="n">
        <v>94</v>
      </c>
      <c r="G8" s="22" t="n">
        <v>91</v>
      </c>
      <c r="H8" s="22" t="n">
        <v>95</v>
      </c>
      <c r="I8" s="22">
        <f>D8*20%+E8*20%+F8*20%+G8*15%+H8*25%</f>
        <v/>
      </c>
      <c r="J8" s="19">
        <f>IF(I8&gt;=90,"A",IF(I8&gt;=80,"B",IF(I8&gt;=70,"C",IF(I8&gt;=60,"D","F"))))</f>
        <v/>
      </c>
      <c r="K8" s="19">
        <f>IF(I8&gt;=70,"Passed",IF(I8&gt;=60,"Remedial","Fail"))</f>
        <v/>
      </c>
    </row>
    <row r="9">
      <c r="A9" s="19" t="inlineStr">
        <is>
          <t>S008</t>
        </is>
      </c>
      <c r="B9" s="19" t="inlineStr">
        <is>
          <t>Gilang Saputra</t>
        </is>
      </c>
      <c r="C9" s="19" t="inlineStr">
        <is>
          <t>10A</t>
        </is>
      </c>
      <c r="D9" s="22" t="n">
        <v>80</v>
      </c>
      <c r="E9" s="22" t="n">
        <v>82</v>
      </c>
      <c r="F9" s="22" t="n">
        <v>85</v>
      </c>
      <c r="G9" s="22" t="n">
        <v>84</v>
      </c>
      <c r="H9" s="22" t="n">
        <v>88</v>
      </c>
      <c r="I9" s="22">
        <f>D9*20%+E9*20%+F9*20%+G9*15%+H9*25%</f>
        <v/>
      </c>
      <c r="J9" s="19">
        <f>IF(I9&gt;=90,"A",IF(I9&gt;=80,"B",IF(I9&gt;=70,"C",IF(I9&gt;=60,"D","F"))))</f>
        <v/>
      </c>
      <c r="K9" s="19">
        <f>IF(I9&gt;=70,"Passed",IF(I9&gt;=60,"Remedial","Fail"))</f>
        <v/>
      </c>
    </row>
    <row r="10">
      <c r="A10" s="19" t="inlineStr">
        <is>
          <t>S009</t>
        </is>
      </c>
      <c r="B10" s="19" t="inlineStr">
        <is>
          <t>Hana Safitri</t>
        </is>
      </c>
      <c r="C10" s="19" t="inlineStr">
        <is>
          <t>10A</t>
        </is>
      </c>
      <c r="D10" s="22" t="n">
        <v>86</v>
      </c>
      <c r="E10" s="22" t="n">
        <v>84</v>
      </c>
      <c r="F10" s="22" t="n">
        <v>87</v>
      </c>
      <c r="G10" s="22" t="n">
        <v>85</v>
      </c>
      <c r="H10" s="22" t="n">
        <v>91</v>
      </c>
      <c r="I10" s="22">
        <f>D10*20%+E10*20%+F10*20%+G10*15%+H10*25%</f>
        <v/>
      </c>
      <c r="J10" s="19">
        <f>IF(I10&gt;=90,"A",IF(I10&gt;=80,"B",IF(I10&gt;=70,"C",IF(I10&gt;=60,"D","F"))))</f>
        <v/>
      </c>
      <c r="K10" s="19">
        <f>IF(I10&gt;=70,"Passed",IF(I10&gt;=60,"Remedial","Fail"))</f>
        <v/>
      </c>
    </row>
    <row r="11">
      <c r="A11" s="19" t="inlineStr">
        <is>
          <t>S010</t>
        </is>
      </c>
      <c r="B11" s="19" t="inlineStr">
        <is>
          <t>Iqbal Maulana</t>
        </is>
      </c>
      <c r="C11" s="19" t="inlineStr">
        <is>
          <t>10A</t>
        </is>
      </c>
      <c r="D11" s="22" t="n">
        <v>77</v>
      </c>
      <c r="E11" s="22" t="n">
        <v>80</v>
      </c>
      <c r="F11" s="22" t="n">
        <v>82</v>
      </c>
      <c r="G11" s="22" t="n">
        <v>79</v>
      </c>
      <c r="H11" s="22" t="n">
        <v>84</v>
      </c>
      <c r="I11" s="22">
        <f>D11*20%+E11*20%+F11*20%+G11*15%+H11*25%</f>
        <v/>
      </c>
      <c r="J11" s="19">
        <f>IF(I11&gt;=90,"A",IF(I11&gt;=80,"B",IF(I11&gt;=70,"C",IF(I11&gt;=60,"D","F"))))</f>
        <v/>
      </c>
      <c r="K11" s="19">
        <f>IF(I11&gt;=70,"Passed",IF(I11&gt;=60,"Remedial","Fail"))</f>
        <v/>
      </c>
    </row>
    <row r="12">
      <c r="A12" s="19" t="inlineStr">
        <is>
          <t>S011</t>
        </is>
      </c>
      <c r="B12" s="19" t="inlineStr">
        <is>
          <t>Jasmine Aulia</t>
        </is>
      </c>
      <c r="C12" s="19" t="inlineStr">
        <is>
          <t>10A</t>
        </is>
      </c>
      <c r="D12" s="22" t="n">
        <v>89</v>
      </c>
      <c r="E12" s="22" t="n">
        <v>87</v>
      </c>
      <c r="F12" s="22" t="n">
        <v>90</v>
      </c>
      <c r="G12" s="22" t="n">
        <v>88</v>
      </c>
      <c r="H12" s="22" t="n">
        <v>93</v>
      </c>
      <c r="I12" s="22">
        <f>D12*20%+E12*20%+F12*20%+G12*15%+H12*25%</f>
        <v/>
      </c>
      <c r="J12" s="19">
        <f>IF(I12&gt;=90,"A",IF(I12&gt;=80,"B",IF(I12&gt;=70,"C",IF(I12&gt;=60,"D","F"))))</f>
        <v/>
      </c>
      <c r="K12" s="19">
        <f>IF(I12&gt;=70,"Passed",IF(I12&gt;=60,"Remedial","Fail"))</f>
        <v/>
      </c>
    </row>
    <row r="13">
      <c r="A13" s="19" t="inlineStr">
        <is>
          <t>S012</t>
        </is>
      </c>
      <c r="B13" s="19" t="inlineStr">
        <is>
          <t>Alisha Putri</t>
        </is>
      </c>
      <c r="C13" s="19" t="inlineStr">
        <is>
          <t>10A</t>
        </is>
      </c>
      <c r="D13" s="22" t="n">
        <v>94</v>
      </c>
      <c r="E13" s="22" t="n">
        <v>92</v>
      </c>
      <c r="F13" s="22" t="n">
        <v>95</v>
      </c>
      <c r="G13" s="22" t="n">
        <v>93</v>
      </c>
      <c r="H13" s="22" t="n">
        <v>96</v>
      </c>
      <c r="I13" s="22">
        <f>D13*20%+E13*20%+F13*20%+G13*15%+H13*25%</f>
        <v/>
      </c>
      <c r="J13" s="19">
        <f>IF(I13&gt;=90,"A",IF(I13&gt;=80,"B",IF(I13&gt;=70,"C",IF(I13&gt;=60,"D","F"))))</f>
        <v/>
      </c>
      <c r="K13" s="19">
        <f>IF(I13&gt;=70,"Passed",IF(I13&gt;=60,"Remedial","Fail"))</f>
        <v/>
      </c>
    </row>
    <row r="14">
      <c r="A14" s="19" t="inlineStr">
        <is>
          <t>S013</t>
        </is>
      </c>
      <c r="B14" s="19" t="inlineStr">
        <is>
          <t>Kevin Wijaya</t>
        </is>
      </c>
      <c r="C14" s="19" t="inlineStr">
        <is>
          <t>10A</t>
        </is>
      </c>
      <c r="D14" s="22" t="n">
        <v>83</v>
      </c>
      <c r="E14" s="22" t="n">
        <v>81</v>
      </c>
      <c r="F14" s="22" t="n">
        <v>86</v>
      </c>
      <c r="G14" s="22" t="n">
        <v>84</v>
      </c>
      <c r="H14" s="22" t="n">
        <v>89</v>
      </c>
      <c r="I14" s="22">
        <f>D14*20%+E14*20%+F14*20%+G14*15%+H14*25%</f>
        <v/>
      </c>
      <c r="J14" s="19">
        <f>IF(I14&gt;=90,"A",IF(I14&gt;=80,"B",IF(I14&gt;=70,"C",IF(I14&gt;=60,"D","F"))))</f>
        <v/>
      </c>
      <c r="K14" s="19">
        <f>IF(I14&gt;=70,"Passed",IF(I14&gt;=60,"Remedial","Fail"))</f>
        <v/>
      </c>
    </row>
    <row r="15">
      <c r="A15" s="19" t="inlineStr">
        <is>
          <t>S014</t>
        </is>
      </c>
      <c r="B15" s="19" t="inlineStr">
        <is>
          <t>Luna Maharani</t>
        </is>
      </c>
      <c r="C15" s="19" t="inlineStr">
        <is>
          <t>10A</t>
        </is>
      </c>
      <c r="D15" s="22" t="n">
        <v>79</v>
      </c>
      <c r="E15" s="22" t="n">
        <v>77</v>
      </c>
      <c r="F15" s="22" t="n">
        <v>81</v>
      </c>
      <c r="G15" s="22" t="n">
        <v>80</v>
      </c>
      <c r="H15" s="22" t="n">
        <v>85</v>
      </c>
      <c r="I15" s="22">
        <f>D15*20%+E15*20%+F15*20%+G15*15%+H15*25%</f>
        <v/>
      </c>
      <c r="J15" s="19">
        <f>IF(I15&gt;=90,"A",IF(I15&gt;=80,"B",IF(I15&gt;=70,"C",IF(I15&gt;=60,"D","F"))))</f>
        <v/>
      </c>
      <c r="K15" s="19">
        <f>IF(I15&gt;=70,"Passed",IF(I15&gt;=60,"Remedial","Fail"))</f>
        <v/>
      </c>
    </row>
    <row r="16">
      <c r="A16" s="19" t="inlineStr">
        <is>
          <t>S015</t>
        </is>
      </c>
      <c r="B16" s="19" t="inlineStr">
        <is>
          <t>Mika Aditya</t>
        </is>
      </c>
      <c r="C16" s="19" t="inlineStr">
        <is>
          <t>10A</t>
        </is>
      </c>
      <c r="D16" s="22" t="n">
        <v>85</v>
      </c>
      <c r="E16" s="22" t="n">
        <v>83</v>
      </c>
      <c r="F16" s="22" t="n">
        <v>88</v>
      </c>
      <c r="G16" s="22" t="n">
        <v>86</v>
      </c>
      <c r="H16" s="22" t="n">
        <v>90</v>
      </c>
      <c r="I16" s="22">
        <f>D16*20%+E16*20%+F16*20%+G16*15%+H16*25%</f>
        <v/>
      </c>
      <c r="J16" s="19">
        <f>IF(I16&gt;=90,"A",IF(I16&gt;=80,"B",IF(I16&gt;=70,"C",IF(I16&gt;=60,"D","F"))))</f>
        <v/>
      </c>
      <c r="K16" s="19">
        <f>IF(I16&gt;=70,"Passed",IF(I16&gt;=60,"Remedial","Fail"))</f>
        <v/>
      </c>
    </row>
    <row r="17">
      <c r="A17" s="19" t="inlineStr">
        <is>
          <t>S016</t>
        </is>
      </c>
      <c r="B17" s="19" t="inlineStr">
        <is>
          <t>Nadia Kirana</t>
        </is>
      </c>
      <c r="C17" s="19" t="inlineStr">
        <is>
          <t>10A</t>
        </is>
      </c>
      <c r="D17" s="22" t="n">
        <v>81</v>
      </c>
      <c r="E17" s="22" t="n">
        <v>84</v>
      </c>
      <c r="F17" s="22" t="n">
        <v>87</v>
      </c>
      <c r="G17" s="22" t="n">
        <v>82</v>
      </c>
      <c r="H17" s="22" t="n">
        <v>88</v>
      </c>
      <c r="I17" s="22">
        <f>D17*20%+E17*20%+F17*20%+G17*15%+H17*25%</f>
        <v/>
      </c>
      <c r="J17" s="19">
        <f>IF(I17&gt;=90,"A",IF(I17&gt;=80,"B",IF(I17&gt;=70,"C",IF(I17&gt;=60,"D","F"))))</f>
        <v/>
      </c>
      <c r="K17" s="19">
        <f>IF(I17&gt;=70,"Passed",IF(I17&gt;=60,"Remedial","Fail"))</f>
        <v/>
      </c>
    </row>
    <row r="18">
      <c r="A18" s="19" t="inlineStr">
        <is>
          <t>S017</t>
        </is>
      </c>
      <c r="B18" s="19" t="inlineStr">
        <is>
          <t>Owen Prakoso</t>
        </is>
      </c>
      <c r="C18" s="19" t="inlineStr">
        <is>
          <t>10A</t>
        </is>
      </c>
      <c r="D18" s="22" t="n">
        <v>78</v>
      </c>
      <c r="E18" s="22" t="n">
        <v>76</v>
      </c>
      <c r="F18" s="22" t="n">
        <v>80</v>
      </c>
      <c r="G18" s="22" t="n">
        <v>75</v>
      </c>
      <c r="H18" s="22" t="n">
        <v>81</v>
      </c>
      <c r="I18" s="22">
        <f>D18*20%+E18*20%+F18*20%+G18*15%+H18*25%</f>
        <v/>
      </c>
      <c r="J18" s="19">
        <f>IF(I18&gt;=90,"A",IF(I18&gt;=80,"B",IF(I18&gt;=70,"C",IF(I18&gt;=60,"D","F"))))</f>
        <v/>
      </c>
      <c r="K18" s="19">
        <f>IF(I18&gt;=70,"Passed",IF(I18&gt;=60,"Remedial","Fail"))</f>
        <v/>
      </c>
    </row>
    <row r="19">
      <c r="A19" s="19" t="inlineStr">
        <is>
          <t>S018</t>
        </is>
      </c>
      <c r="B19" s="19" t="inlineStr">
        <is>
          <t>Nabila Zahra</t>
        </is>
      </c>
      <c r="C19" s="19" t="inlineStr">
        <is>
          <t>10A</t>
        </is>
      </c>
      <c r="D19" s="22" t="n">
        <v>72</v>
      </c>
      <c r="E19" s="22" t="n">
        <v>74</v>
      </c>
      <c r="F19" s="22" t="n">
        <v>77</v>
      </c>
      <c r="G19" s="22" t="n">
        <v>73</v>
      </c>
      <c r="H19" s="22" t="n">
        <v>79</v>
      </c>
      <c r="I19" s="22">
        <f>D19*20%+E19*20%+F19*20%+G19*15%+H19*25%</f>
        <v/>
      </c>
      <c r="J19" s="19">
        <f>IF(I19&gt;=90,"A",IF(I19&gt;=80,"B",IF(I19&gt;=70,"C",IF(I19&gt;=60,"D","F"))))</f>
        <v/>
      </c>
      <c r="K19" s="19">
        <f>IF(I19&gt;=70,"Passed",IF(I19&gt;=60,"Remedial","Fail"))</f>
        <v/>
      </c>
    </row>
    <row r="20">
      <c r="A20" s="19" t="inlineStr">
        <is>
          <t>S019</t>
        </is>
      </c>
      <c r="B20" s="19" t="inlineStr">
        <is>
          <t>Qiana Sari</t>
        </is>
      </c>
      <c r="C20" s="19" t="inlineStr">
        <is>
          <t>10A</t>
        </is>
      </c>
      <c r="D20" s="22" t="n">
        <v>84</v>
      </c>
      <c r="E20" s="22" t="n">
        <v>82</v>
      </c>
      <c r="F20" s="22" t="n">
        <v>86</v>
      </c>
      <c r="G20" s="22" t="n">
        <v>83</v>
      </c>
      <c r="H20" s="22" t="n">
        <v>88</v>
      </c>
      <c r="I20" s="22">
        <f>D20*20%+E20*20%+F20*20%+G20*15%+H20*25%</f>
        <v/>
      </c>
      <c r="J20" s="19">
        <f>IF(I20&gt;=90,"A",IF(I20&gt;=80,"B",IF(I20&gt;=70,"C",IF(I20&gt;=60,"D","F"))))</f>
        <v/>
      </c>
      <c r="K20" s="19">
        <f>IF(I20&gt;=70,"Passed",IF(I20&gt;=60,"Remedial","Fail"))</f>
        <v/>
      </c>
    </row>
    <row r="21">
      <c r="A21" s="19" t="inlineStr">
        <is>
          <t>S020</t>
        </is>
      </c>
      <c r="B21" s="19" t="inlineStr">
        <is>
          <t>Raka Firmansyah</t>
        </is>
      </c>
      <c r="C21" s="19" t="inlineStr">
        <is>
          <t>10A</t>
        </is>
      </c>
      <c r="D21" s="22" t="n">
        <v>80</v>
      </c>
      <c r="E21" s="22" t="n">
        <v>79</v>
      </c>
      <c r="F21" s="22" t="n">
        <v>84</v>
      </c>
      <c r="G21" s="22" t="n">
        <v>81</v>
      </c>
      <c r="H21" s="22" t="n">
        <v>86</v>
      </c>
      <c r="I21" s="22">
        <f>D21*20%+E21*20%+F21*20%+G21*15%+H21*25%</f>
        <v/>
      </c>
      <c r="J21" s="19">
        <f>IF(I21&gt;=90,"A",IF(I21&gt;=80,"B",IF(I21&gt;=70,"C",IF(I21&gt;=60,"D","F"))))</f>
        <v/>
      </c>
      <c r="K21" s="19">
        <f>IF(I21&gt;=70,"Passed",IF(I21&gt;=60,"Remedial","Fail"))</f>
        <v/>
      </c>
    </row>
    <row r="22">
      <c r="A22" s="19" t="inlineStr">
        <is>
          <t>S021</t>
        </is>
      </c>
      <c r="B22" s="19" t="inlineStr">
        <is>
          <t>Salsa Amelia</t>
        </is>
      </c>
      <c r="C22" s="19" t="inlineStr">
        <is>
          <t>10A</t>
        </is>
      </c>
      <c r="D22" s="22" t="n">
        <v>88</v>
      </c>
      <c r="E22" s="22" t="n">
        <v>85</v>
      </c>
      <c r="F22" s="22" t="n">
        <v>90</v>
      </c>
      <c r="G22" s="22" t="n">
        <v>87</v>
      </c>
      <c r="H22" s="22" t="n">
        <v>92</v>
      </c>
      <c r="I22" s="22">
        <f>D22*20%+E22*20%+F22*20%+G22*15%+H22*25%</f>
        <v/>
      </c>
      <c r="J22" s="19">
        <f>IF(I22&gt;=90,"A",IF(I22&gt;=80,"B",IF(I22&gt;=70,"C",IF(I22&gt;=60,"D","F"))))</f>
        <v/>
      </c>
      <c r="K22" s="19">
        <f>IF(I22&gt;=70,"Passed",IF(I22&gt;=60,"Remedial","Fail"))</f>
        <v/>
      </c>
    </row>
    <row r="23">
      <c r="A23" s="19" t="inlineStr">
        <is>
          <t>S022</t>
        </is>
      </c>
      <c r="B23" s="19" t="inlineStr">
        <is>
          <t>Tio Ramadhan</t>
        </is>
      </c>
      <c r="C23" s="19" t="inlineStr">
        <is>
          <t>10A</t>
        </is>
      </c>
      <c r="D23" s="22" t="n">
        <v>75</v>
      </c>
      <c r="E23" s="22" t="n">
        <v>77</v>
      </c>
      <c r="F23" s="22" t="n">
        <v>79</v>
      </c>
      <c r="G23" s="22" t="n">
        <v>76</v>
      </c>
      <c r="H23" s="22" t="n">
        <v>82</v>
      </c>
      <c r="I23" s="22">
        <f>D23*20%+E23*20%+F23*20%+G23*15%+H23*25%</f>
        <v/>
      </c>
      <c r="J23" s="19">
        <f>IF(I23&gt;=90,"A",IF(I23&gt;=80,"B",IF(I23&gt;=70,"C",IF(I23&gt;=60,"D","F"))))</f>
        <v/>
      </c>
      <c r="K23" s="19">
        <f>IF(I23&gt;=70,"Passed",IF(I23&gt;=60,"Remedial","Fail"))</f>
        <v/>
      </c>
    </row>
    <row r="24">
      <c r="A24" s="19" t="inlineStr">
        <is>
          <t>S023</t>
        </is>
      </c>
      <c r="B24" s="19" t="inlineStr">
        <is>
          <t>Umar Hakim</t>
        </is>
      </c>
      <c r="C24" s="19" t="inlineStr">
        <is>
          <t>10A</t>
        </is>
      </c>
      <c r="D24" s="22" t="n">
        <v>82</v>
      </c>
      <c r="E24" s="22" t="n">
        <v>80</v>
      </c>
      <c r="F24" s="22" t="n">
        <v>83</v>
      </c>
      <c r="G24" s="22" t="n">
        <v>81</v>
      </c>
      <c r="H24" s="22" t="n">
        <v>85</v>
      </c>
      <c r="I24" s="22">
        <f>D24*20%+E24*20%+F24*20%+G24*15%+H24*25%</f>
        <v/>
      </c>
      <c r="J24" s="19">
        <f>IF(I24&gt;=90,"A",IF(I24&gt;=80,"B",IF(I24&gt;=70,"C",IF(I24&gt;=60,"D","F"))))</f>
        <v/>
      </c>
      <c r="K24" s="19">
        <f>IF(I24&gt;=70,"Passed",IF(I24&gt;=60,"Remedial","Fail"))</f>
        <v/>
      </c>
    </row>
    <row r="25">
      <c r="A25" s="19" t="inlineStr">
        <is>
          <t>S024</t>
        </is>
      </c>
      <c r="B25" s="19" t="inlineStr">
        <is>
          <t>Vania Kusuma</t>
        </is>
      </c>
      <c r="C25" s="19" t="inlineStr">
        <is>
          <t>10A</t>
        </is>
      </c>
      <c r="D25" s="22" t="n">
        <v>87</v>
      </c>
      <c r="E25" s="22" t="n">
        <v>84</v>
      </c>
      <c r="F25" s="22" t="n">
        <v>89</v>
      </c>
      <c r="G25" s="22" t="n">
        <v>86</v>
      </c>
      <c r="H25" s="22" t="n">
        <v>91</v>
      </c>
      <c r="I25" s="22">
        <f>D25*20%+E25*20%+F25*20%+G25*15%+H25*25%</f>
        <v/>
      </c>
      <c r="J25" s="19">
        <f>IF(I25&gt;=90,"A",IF(I25&gt;=80,"B",IF(I25&gt;=70,"C",IF(I25&gt;=60,"D","F"))))</f>
        <v/>
      </c>
      <c r="K25" s="19">
        <f>IF(I25&gt;=70,"Passed",IF(I25&gt;=60,"Remedial","Fail"))</f>
        <v/>
      </c>
    </row>
    <row r="26">
      <c r="A26" s="19" t="inlineStr">
        <is>
          <t>S025</t>
        </is>
      </c>
      <c r="B26" s="19" t="inlineStr">
        <is>
          <t>Darren Alvaro</t>
        </is>
      </c>
      <c r="C26" s="19" t="inlineStr">
        <is>
          <t>10A</t>
        </is>
      </c>
      <c r="D26" s="22" t="n">
        <v>90</v>
      </c>
      <c r="E26" s="22" t="n">
        <v>88</v>
      </c>
      <c r="F26" s="22" t="n">
        <v>92</v>
      </c>
      <c r="G26" s="22" t="n">
        <v>89</v>
      </c>
      <c r="H26" s="22" t="n">
        <v>94</v>
      </c>
      <c r="I26" s="22">
        <f>D26*20%+E26*20%+F26*20%+G26*15%+H26*25%</f>
        <v/>
      </c>
      <c r="J26" s="19">
        <f>IF(I26&gt;=90,"A",IF(I26&gt;=80,"B",IF(I26&gt;=70,"C",IF(I26&gt;=60,"D","F"))))</f>
        <v/>
      </c>
      <c r="K26" s="19">
        <f>IF(I26&gt;=70,"Passed",IF(I26&gt;=60,"Remedial","Fail"))</f>
        <v/>
      </c>
    </row>
    <row r="27">
      <c r="A27" s="19" t="inlineStr">
        <is>
          <t>S026</t>
        </is>
      </c>
      <c r="B27" s="19" t="inlineStr">
        <is>
          <t>Wulan Pertiwi</t>
        </is>
      </c>
      <c r="C27" s="19" t="inlineStr">
        <is>
          <t>10A</t>
        </is>
      </c>
      <c r="D27" s="22" t="n">
        <v>79</v>
      </c>
      <c r="E27" s="22" t="n">
        <v>81</v>
      </c>
      <c r="F27" s="22" t="n">
        <v>84</v>
      </c>
      <c r="G27" s="22" t="n">
        <v>80</v>
      </c>
      <c r="H27" s="22" t="n">
        <v>86</v>
      </c>
      <c r="I27" s="22">
        <f>D27*20%+E27*20%+F27*20%+G27*15%+H27*25%</f>
        <v/>
      </c>
      <c r="J27" s="19">
        <f>IF(I27&gt;=90,"A",IF(I27&gt;=80,"B",IF(I27&gt;=70,"C",IF(I27&gt;=60,"D","F"))))</f>
        <v/>
      </c>
      <c r="K27" s="19">
        <f>IF(I27&gt;=70,"Passed",IF(I27&gt;=60,"Remedial","Fail"))</f>
        <v/>
      </c>
    </row>
    <row r="28">
      <c r="A28" s="19" t="inlineStr">
        <is>
          <t>S027</t>
        </is>
      </c>
      <c r="B28" s="19" t="inlineStr">
        <is>
          <t>Yusuf Hidayat</t>
        </is>
      </c>
      <c r="C28" s="19" t="inlineStr">
        <is>
          <t>10A</t>
        </is>
      </c>
      <c r="D28" s="22" t="n">
        <v>83</v>
      </c>
      <c r="E28" s="22" t="n">
        <v>85</v>
      </c>
      <c r="F28" s="22" t="n">
        <v>87</v>
      </c>
      <c r="G28" s="22" t="n">
        <v>84</v>
      </c>
      <c r="H28" s="22" t="n">
        <v>89</v>
      </c>
      <c r="I28" s="22">
        <f>D28*20%+E28*20%+F28*20%+G28*15%+H28*25%</f>
        <v/>
      </c>
      <c r="J28" s="19">
        <f>IF(I28&gt;=90,"A",IF(I28&gt;=80,"B",IF(I28&gt;=70,"C",IF(I28&gt;=60,"D","F"))))</f>
        <v/>
      </c>
      <c r="K28" s="19">
        <f>IF(I28&gt;=70,"Passed",IF(I28&gt;=60,"Remedial","Fail"))</f>
        <v/>
      </c>
    </row>
    <row r="29">
      <c r="A29" s="19" t="inlineStr">
        <is>
          <t>S028</t>
        </is>
      </c>
      <c r="B29" s="19" t="inlineStr">
        <is>
          <t>Zahra Nirmala</t>
        </is>
      </c>
      <c r="C29" s="19" t="inlineStr">
        <is>
          <t>10A</t>
        </is>
      </c>
      <c r="D29" s="22" t="n">
        <v>86</v>
      </c>
      <c r="E29" s="22" t="n">
        <v>82</v>
      </c>
      <c r="F29" s="22" t="n">
        <v>88</v>
      </c>
      <c r="G29" s="22" t="n">
        <v>85</v>
      </c>
      <c r="H29" s="22" t="n">
        <v>90</v>
      </c>
      <c r="I29" s="22">
        <f>D29*20%+E29*20%+F29*20%+G29*15%+H29*25%</f>
        <v/>
      </c>
      <c r="J29" s="19">
        <f>IF(I29&gt;=90,"A",IF(I29&gt;=80,"B",IF(I29&gt;=70,"C",IF(I29&gt;=60,"D","F"))))</f>
        <v/>
      </c>
      <c r="K29" s="19">
        <f>IF(I29&gt;=70,"Passed",IF(I29&gt;=60,"Remedial","Fail"))</f>
        <v/>
      </c>
    </row>
    <row r="30">
      <c r="A30" s="19" t="inlineStr">
        <is>
          <t>S029</t>
        </is>
      </c>
      <c r="B30" s="19" t="inlineStr">
        <is>
          <t>Arman Fikri</t>
        </is>
      </c>
      <c r="C30" s="19" t="inlineStr">
        <is>
          <t>10A</t>
        </is>
      </c>
      <c r="D30" s="22" t="n">
        <v>80</v>
      </c>
      <c r="E30" s="22" t="n">
        <v>78</v>
      </c>
      <c r="F30" s="22" t="n">
        <v>82</v>
      </c>
      <c r="G30" s="22" t="n">
        <v>79</v>
      </c>
      <c r="H30" s="22" t="n">
        <v>84</v>
      </c>
      <c r="I30" s="22">
        <f>D30*20%+E30*20%+F30*20%+G30*15%+H30*25%</f>
        <v/>
      </c>
      <c r="J30" s="19">
        <f>IF(I30&gt;=90,"A",IF(I30&gt;=80,"B",IF(I30&gt;=70,"C",IF(I30&gt;=60,"D","F"))))</f>
        <v/>
      </c>
      <c r="K30" s="19">
        <f>IF(I30&gt;=70,"Passed",IF(I30&gt;=60,"Remedial","Fail"))</f>
        <v/>
      </c>
    </row>
    <row r="31">
      <c r="A31" s="19" t="inlineStr">
        <is>
          <t>S030</t>
        </is>
      </c>
      <c r="B31" s="19" t="inlineStr">
        <is>
          <t>Bella Anjani</t>
        </is>
      </c>
      <c r="C31" s="19" t="inlineStr">
        <is>
          <t>10A</t>
        </is>
      </c>
      <c r="D31" s="22" t="n">
        <v>73</v>
      </c>
      <c r="E31" s="22" t="n">
        <v>76</v>
      </c>
      <c r="F31" s="22" t="n">
        <v>78</v>
      </c>
      <c r="G31" s="22" t="n">
        <v>74</v>
      </c>
      <c r="H31" s="22" t="n">
        <v>80</v>
      </c>
      <c r="I31" s="22">
        <f>D31*20%+E31*20%+F31*20%+G31*15%+H31*25%</f>
        <v/>
      </c>
      <c r="J31" s="19">
        <f>IF(I31&gt;=90,"A",IF(I31&gt;=80,"B",IF(I31&gt;=70,"C",IF(I31&gt;=60,"D","F"))))</f>
        <v/>
      </c>
      <c r="K31" s="19">
        <f>IF(I31&gt;=70,"Passed",IF(I31&gt;=60,"Remedial","Fail"))</f>
        <v/>
      </c>
    </row>
    <row r="32">
      <c r="A32" s="19" t="inlineStr">
        <is>
          <t>S031</t>
        </is>
      </c>
      <c r="B32" s="19" t="inlineStr">
        <is>
          <t>Rizky Pratama</t>
        </is>
      </c>
      <c r="C32" s="19" t="inlineStr">
        <is>
          <t>10A</t>
        </is>
      </c>
      <c r="D32" s="22" t="n">
        <v>66</v>
      </c>
      <c r="E32" s="22" t="n">
        <v>62</v>
      </c>
      <c r="F32" s="22" t="n">
        <v>68</v>
      </c>
      <c r="G32" s="22" t="n">
        <v>60</v>
      </c>
      <c r="H32" s="22" t="n">
        <v>64</v>
      </c>
      <c r="I32" s="22">
        <f>D32*20%+E32*20%+F32*20%+G32*15%+H32*25%</f>
        <v/>
      </c>
      <c r="J32" s="19">
        <f>IF(I32&gt;=90,"A",IF(I32&gt;=80,"B",IF(I32&gt;=70,"C",IF(I32&gt;=60,"D","F"))))</f>
        <v/>
      </c>
      <c r="K32" s="19">
        <f>IF(I32&gt;=70,"Passed",IF(I32&gt;=60,"Remedial","Fail"))</f>
        <v/>
      </c>
    </row>
    <row r="33">
      <c r="A33" s="19" t="inlineStr">
        <is>
          <t>S032</t>
        </is>
      </c>
      <c r="B33" s="19" t="inlineStr">
        <is>
          <t>Nabila Zahra</t>
        </is>
      </c>
      <c r="C33" s="19" t="inlineStr">
        <is>
          <t>10A</t>
        </is>
      </c>
      <c r="D33" s="22" t="n">
        <v>64</v>
      </c>
      <c r="E33" s="22" t="n">
        <v>61</v>
      </c>
      <c r="F33" s="22" t="n">
        <v>67</v>
      </c>
      <c r="G33" s="22" t="n">
        <v>59</v>
      </c>
      <c r="H33" s="22" t="n">
        <v>61</v>
      </c>
      <c r="I33" s="22">
        <f>D33*20%+E33*20%+F33*20%+G33*15%+H33*25%</f>
        <v/>
      </c>
      <c r="J33" s="19">
        <f>IF(I33&gt;=90,"A",IF(I33&gt;=80,"B",IF(I33&gt;=70,"C",IF(I33&gt;=60,"D","F"))))</f>
        <v/>
      </c>
      <c r="K33" s="19">
        <f>IF(I33&gt;=70,"Passed",IF(I33&gt;=60,"Remedial","Fail"))</f>
        <v/>
      </c>
    </row>
  </sheetData>
  <autoFilter ref="A1:K33"/>
  <conditionalFormatting sqref="I2:I33">
    <cfRule type="cellIs" priority="1" operator="lessThan" dxfId="0">
      <formula>70</formula>
    </cfRule>
    <cfRule type="cellIs" priority="2" operator="greaterThanOrEqual" dxfId="1">
      <formula>90</formula>
    </cfRule>
  </conditionalFormatting>
  <dataValidations count="1">
    <dataValidation sqref="D2:H33" showDropDown="0" showInputMessage="0" showErrorMessage="0" allowBlank="1" errorTitle="Invalid Score" error="Enter a score between 0 and 100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FC0B1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2" customWidth="1" min="4" max="4"/>
    <col width="22" customWidth="1" min="5" max="5"/>
  </cols>
  <sheetData>
    <row r="1">
      <c r="A1" s="15" t="inlineStr">
        <is>
          <t>Learning Outcome</t>
        </is>
      </c>
      <c r="B1" s="15" t="inlineStr">
        <is>
          <t>Average Score</t>
        </is>
      </c>
      <c r="C1" s="15" t="inlineStr">
        <is>
          <t>Achievement %</t>
        </is>
      </c>
      <c r="D1" s="15" t="inlineStr">
        <is>
          <t>Status</t>
        </is>
      </c>
      <c r="E1" s="15" t="inlineStr">
        <is>
          <t>Students Below Target</t>
        </is>
      </c>
    </row>
    <row r="2">
      <c r="A2" s="19" t="inlineStr">
        <is>
          <t>LO1 – Basic Concept</t>
        </is>
      </c>
      <c r="B2" s="19" t="n">
        <v>88</v>
      </c>
      <c r="C2" s="20">
        <f>B2%</f>
        <v/>
      </c>
      <c r="D2" s="19">
        <f>IF(C2&gt;=0.8,"Achieved",IF(C2&gt;=0.7,"On Track","Needs Improvement"))</f>
        <v/>
      </c>
      <c r="E2" s="19">
        <f>COUNTIF('Grade Tracker'!$I$2:$I$33,"&lt;"&amp;B2)</f>
        <v/>
      </c>
    </row>
    <row r="3">
      <c r="A3" s="19" t="inlineStr">
        <is>
          <t>LO2 – Application</t>
        </is>
      </c>
      <c r="B3" s="19" t="n">
        <v>81</v>
      </c>
      <c r="C3" s="20">
        <f>B3%</f>
        <v/>
      </c>
      <c r="D3" s="19">
        <f>IF(C3&gt;=0.8,"Achieved",IF(C3&gt;=0.7,"On Track","Needs Improvement"))</f>
        <v/>
      </c>
      <c r="E3" s="19">
        <f>COUNTIF('Grade Tracker'!$I$2:$I$33,"&lt;"&amp;B3)</f>
        <v/>
      </c>
    </row>
    <row r="4">
      <c r="A4" s="19" t="inlineStr">
        <is>
          <t>LO3 – Analysis</t>
        </is>
      </c>
      <c r="B4" s="19" t="n">
        <v>68</v>
      </c>
      <c r="C4" s="20">
        <f>B4%</f>
        <v/>
      </c>
      <c r="D4" s="19">
        <f>IF(C4&gt;=0.8,"Achieved",IF(C4&gt;=0.7,"On Track","Needs Improvement"))</f>
        <v/>
      </c>
      <c r="E4" s="19">
        <f>COUNTIF('Grade Tracker'!$I$2:$I$33,"&lt;"&amp;B4)</f>
        <v/>
      </c>
    </row>
    <row r="5">
      <c r="A5" s="19" t="inlineStr">
        <is>
          <t>LO4 – Problem Solving</t>
        </is>
      </c>
      <c r="B5" s="19" t="n">
        <v>76</v>
      </c>
      <c r="C5" s="20">
        <f>B5%</f>
        <v/>
      </c>
      <c r="D5" s="19">
        <f>IF(C5&gt;=0.8,"Achieved",IF(C5&gt;=0.7,"On Track","Needs Improvement"))</f>
        <v/>
      </c>
      <c r="E5" s="19">
        <f>COUNTIF('Grade Tracker'!$I$2:$I$33,"&lt;"&amp;B5)</f>
        <v/>
      </c>
    </row>
    <row r="6">
      <c r="A6" s="19" t="inlineStr">
        <is>
          <t>LO5 – Communication</t>
        </is>
      </c>
      <c r="B6" s="19" t="n">
        <v>85</v>
      </c>
      <c r="C6" s="20">
        <f>B6%</f>
        <v/>
      </c>
      <c r="D6" s="19">
        <f>IF(C6&gt;=0.8,"Achieved",IF(C6&gt;=0.7,"On Track","Needs Improvement"))</f>
        <v/>
      </c>
      <c r="E6" s="19">
        <f>COUNTIF('Grade Tracker'!$I$2:$I$33,"&lt;"&amp;B6)</f>
        <v/>
      </c>
    </row>
  </sheetData>
  <conditionalFormatting sqref="D2:D6">
    <cfRule type="cellIs" priority="1" operator="equal" dxfId="2">
      <formula>"Needs Improvement"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C5A5"/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</cols>
  <sheetData>
    <row r="1">
      <c r="A1" s="15" t="inlineStr">
        <is>
          <t>Student ID</t>
        </is>
      </c>
      <c r="B1" s="15" t="inlineStr">
        <is>
          <t>Student Name</t>
        </is>
      </c>
      <c r="C1" s="15" t="inlineStr">
        <is>
          <t>Class</t>
        </is>
      </c>
    </row>
    <row r="2">
      <c r="A2" s="19" t="inlineStr">
        <is>
          <t>S001</t>
        </is>
      </c>
      <c r="B2" s="19" t="inlineStr">
        <is>
          <t>Alya Rahma</t>
        </is>
      </c>
      <c r="C2" s="19" t="inlineStr">
        <is>
          <t>10A</t>
        </is>
      </c>
    </row>
    <row r="3">
      <c r="A3" s="19" t="inlineStr">
        <is>
          <t>S002</t>
        </is>
      </c>
      <c r="B3" s="19" t="inlineStr">
        <is>
          <t>Bima Pratama</t>
        </is>
      </c>
      <c r="C3" s="19" t="inlineStr">
        <is>
          <t>10A</t>
        </is>
      </c>
    </row>
    <row r="4">
      <c r="A4" s="19" t="inlineStr">
        <is>
          <t>S003</t>
        </is>
      </c>
      <c r="B4" s="19" t="inlineStr">
        <is>
          <t>Citra Lestari</t>
        </is>
      </c>
      <c r="C4" s="19" t="inlineStr">
        <is>
          <t>10A</t>
        </is>
      </c>
    </row>
    <row r="5">
      <c r="A5" s="19" t="inlineStr">
        <is>
          <t>S004</t>
        </is>
      </c>
      <c r="B5" s="19" t="inlineStr">
        <is>
          <t>Daffa Rizky</t>
        </is>
      </c>
      <c r="C5" s="19" t="inlineStr">
        <is>
          <t>10A</t>
        </is>
      </c>
    </row>
    <row r="6">
      <c r="A6" s="19" t="inlineStr">
        <is>
          <t>S005</t>
        </is>
      </c>
      <c r="B6" s="19" t="inlineStr">
        <is>
          <t>Elena Putri</t>
        </is>
      </c>
      <c r="C6" s="19" t="inlineStr">
        <is>
          <t>10A</t>
        </is>
      </c>
    </row>
    <row r="7">
      <c r="A7" s="19" t="inlineStr">
        <is>
          <t>S006</t>
        </is>
      </c>
      <c r="B7" s="19" t="inlineStr">
        <is>
          <t>Farhan Akbar</t>
        </is>
      </c>
      <c r="C7" s="19" t="inlineStr">
        <is>
          <t>10A</t>
        </is>
      </c>
    </row>
    <row r="8">
      <c r="A8" s="19" t="inlineStr">
        <is>
          <t>S007</t>
        </is>
      </c>
      <c r="B8" s="19" t="inlineStr">
        <is>
          <t>Keisha Anindya</t>
        </is>
      </c>
      <c r="C8" s="19" t="inlineStr">
        <is>
          <t>10A</t>
        </is>
      </c>
    </row>
    <row r="9">
      <c r="A9" s="19" t="inlineStr">
        <is>
          <t>S008</t>
        </is>
      </c>
      <c r="B9" s="19" t="inlineStr">
        <is>
          <t>Gilang Saputra</t>
        </is>
      </c>
      <c r="C9" s="19" t="inlineStr">
        <is>
          <t>10A</t>
        </is>
      </c>
    </row>
    <row r="10">
      <c r="A10" s="19" t="inlineStr">
        <is>
          <t>S009</t>
        </is>
      </c>
      <c r="B10" s="19" t="inlineStr">
        <is>
          <t>Hana Safitri</t>
        </is>
      </c>
      <c r="C10" s="19" t="inlineStr">
        <is>
          <t>10A</t>
        </is>
      </c>
    </row>
    <row r="11">
      <c r="A11" s="19" t="inlineStr">
        <is>
          <t>S010</t>
        </is>
      </c>
      <c r="B11" s="19" t="inlineStr">
        <is>
          <t>Iqbal Maulana</t>
        </is>
      </c>
      <c r="C11" s="19" t="inlineStr">
        <is>
          <t>10A</t>
        </is>
      </c>
    </row>
    <row r="12">
      <c r="A12" s="19" t="inlineStr">
        <is>
          <t>S011</t>
        </is>
      </c>
      <c r="B12" s="19" t="inlineStr">
        <is>
          <t>Jasmine Aulia</t>
        </is>
      </c>
      <c r="C12" s="19" t="inlineStr">
        <is>
          <t>10A</t>
        </is>
      </c>
    </row>
    <row r="13">
      <c r="A13" s="19" t="inlineStr">
        <is>
          <t>S012</t>
        </is>
      </c>
      <c r="B13" s="19" t="inlineStr">
        <is>
          <t>Alisha Putri</t>
        </is>
      </c>
      <c r="C13" s="19" t="inlineStr">
        <is>
          <t>10A</t>
        </is>
      </c>
    </row>
    <row r="14">
      <c r="A14" s="19" t="inlineStr">
        <is>
          <t>S013</t>
        </is>
      </c>
      <c r="B14" s="19" t="inlineStr">
        <is>
          <t>Kevin Wijaya</t>
        </is>
      </c>
      <c r="C14" s="19" t="inlineStr">
        <is>
          <t>10A</t>
        </is>
      </c>
    </row>
    <row r="15">
      <c r="A15" s="19" t="inlineStr">
        <is>
          <t>S014</t>
        </is>
      </c>
      <c r="B15" s="19" t="inlineStr">
        <is>
          <t>Luna Maharani</t>
        </is>
      </c>
      <c r="C15" s="19" t="inlineStr">
        <is>
          <t>10A</t>
        </is>
      </c>
    </row>
    <row r="16">
      <c r="A16" s="19" t="inlineStr">
        <is>
          <t>S015</t>
        </is>
      </c>
      <c r="B16" s="19" t="inlineStr">
        <is>
          <t>Mika Aditya</t>
        </is>
      </c>
      <c r="C16" s="19" t="inlineStr">
        <is>
          <t>10A</t>
        </is>
      </c>
    </row>
    <row r="17">
      <c r="A17" s="19" t="inlineStr">
        <is>
          <t>S016</t>
        </is>
      </c>
      <c r="B17" s="19" t="inlineStr">
        <is>
          <t>Nadia Kirana</t>
        </is>
      </c>
      <c r="C17" s="19" t="inlineStr">
        <is>
          <t>10A</t>
        </is>
      </c>
    </row>
    <row r="18">
      <c r="A18" s="19" t="inlineStr">
        <is>
          <t>S017</t>
        </is>
      </c>
      <c r="B18" s="19" t="inlineStr">
        <is>
          <t>Owen Prakoso</t>
        </is>
      </c>
      <c r="C18" s="19" t="inlineStr">
        <is>
          <t>10A</t>
        </is>
      </c>
    </row>
    <row r="19">
      <c r="A19" s="19" t="inlineStr">
        <is>
          <t>S018</t>
        </is>
      </c>
      <c r="B19" s="19" t="inlineStr">
        <is>
          <t>Nabila Zahra</t>
        </is>
      </c>
      <c r="C19" s="19" t="inlineStr">
        <is>
          <t>10A</t>
        </is>
      </c>
    </row>
    <row r="20">
      <c r="A20" s="19" t="inlineStr">
        <is>
          <t>S019</t>
        </is>
      </c>
      <c r="B20" s="19" t="inlineStr">
        <is>
          <t>Qiana Sari</t>
        </is>
      </c>
      <c r="C20" s="19" t="inlineStr">
        <is>
          <t>10A</t>
        </is>
      </c>
    </row>
    <row r="21">
      <c r="A21" s="19" t="inlineStr">
        <is>
          <t>S020</t>
        </is>
      </c>
      <c r="B21" s="19" t="inlineStr">
        <is>
          <t>Raka Firmansyah</t>
        </is>
      </c>
      <c r="C21" s="19" t="inlineStr">
        <is>
          <t>10A</t>
        </is>
      </c>
    </row>
    <row r="22">
      <c r="A22" s="19" t="inlineStr">
        <is>
          <t>S021</t>
        </is>
      </c>
      <c r="B22" s="19" t="inlineStr">
        <is>
          <t>Salsa Amelia</t>
        </is>
      </c>
      <c r="C22" s="19" t="inlineStr">
        <is>
          <t>10A</t>
        </is>
      </c>
    </row>
    <row r="23">
      <c r="A23" s="19" t="inlineStr">
        <is>
          <t>S022</t>
        </is>
      </c>
      <c r="B23" s="19" t="inlineStr">
        <is>
          <t>Tio Ramadhan</t>
        </is>
      </c>
      <c r="C23" s="19" t="inlineStr">
        <is>
          <t>10A</t>
        </is>
      </c>
    </row>
    <row r="24">
      <c r="A24" s="19" t="inlineStr">
        <is>
          <t>S023</t>
        </is>
      </c>
      <c r="B24" s="19" t="inlineStr">
        <is>
          <t>Umar Hakim</t>
        </is>
      </c>
      <c r="C24" s="19" t="inlineStr">
        <is>
          <t>10A</t>
        </is>
      </c>
    </row>
    <row r="25">
      <c r="A25" s="19" t="inlineStr">
        <is>
          <t>S024</t>
        </is>
      </c>
      <c r="B25" s="19" t="inlineStr">
        <is>
          <t>Vania Kusuma</t>
        </is>
      </c>
      <c r="C25" s="19" t="inlineStr">
        <is>
          <t>10A</t>
        </is>
      </c>
    </row>
    <row r="26">
      <c r="A26" s="19" t="inlineStr">
        <is>
          <t>S025</t>
        </is>
      </c>
      <c r="B26" s="19" t="inlineStr">
        <is>
          <t>Darren Alvaro</t>
        </is>
      </c>
      <c r="C26" s="19" t="inlineStr">
        <is>
          <t>10A</t>
        </is>
      </c>
    </row>
    <row r="27">
      <c r="A27" s="19" t="inlineStr">
        <is>
          <t>S026</t>
        </is>
      </c>
      <c r="B27" s="19" t="inlineStr">
        <is>
          <t>Wulan Pertiwi</t>
        </is>
      </c>
      <c r="C27" s="19" t="inlineStr">
        <is>
          <t>10A</t>
        </is>
      </c>
    </row>
    <row r="28">
      <c r="A28" s="19" t="inlineStr">
        <is>
          <t>S027</t>
        </is>
      </c>
      <c r="B28" s="19" t="inlineStr">
        <is>
          <t>Yusuf Hidayat</t>
        </is>
      </c>
      <c r="C28" s="19" t="inlineStr">
        <is>
          <t>10A</t>
        </is>
      </c>
    </row>
    <row r="29">
      <c r="A29" s="19" t="inlineStr">
        <is>
          <t>S028</t>
        </is>
      </c>
      <c r="B29" s="19" t="inlineStr">
        <is>
          <t>Zahra Nirmala</t>
        </is>
      </c>
      <c r="C29" s="19" t="inlineStr">
        <is>
          <t>10A</t>
        </is>
      </c>
    </row>
    <row r="30">
      <c r="A30" s="19" t="inlineStr">
        <is>
          <t>S029</t>
        </is>
      </c>
      <c r="B30" s="19" t="inlineStr">
        <is>
          <t>Arman Fikri</t>
        </is>
      </c>
      <c r="C30" s="19" t="inlineStr">
        <is>
          <t>10A</t>
        </is>
      </c>
    </row>
    <row r="31">
      <c r="A31" s="19" t="inlineStr">
        <is>
          <t>S030</t>
        </is>
      </c>
      <c r="B31" s="19" t="inlineStr">
        <is>
          <t>Bella Anjani</t>
        </is>
      </c>
      <c r="C31" s="19" t="inlineStr">
        <is>
          <t>10A</t>
        </is>
      </c>
    </row>
    <row r="32">
      <c r="A32" s="19" t="inlineStr">
        <is>
          <t>S031</t>
        </is>
      </c>
      <c r="B32" s="19" t="inlineStr">
        <is>
          <t>Rizky Pratama</t>
        </is>
      </c>
      <c r="C32" s="19" t="inlineStr">
        <is>
          <t>10A</t>
        </is>
      </c>
    </row>
    <row r="33">
      <c r="A33" s="19" t="inlineStr">
        <is>
          <t>S032</t>
        </is>
      </c>
      <c r="B33" s="19" t="inlineStr">
        <is>
          <t>Nabila Zahra</t>
        </is>
      </c>
      <c r="C33" s="19" t="inlineStr">
        <is>
          <t>10A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E6875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6" t="inlineStr">
        <is>
          <t>Section</t>
        </is>
      </c>
      <c r="B1" s="16" t="inlineStr">
        <is>
          <t>Description</t>
        </is>
      </c>
    </row>
    <row r="2">
      <c r="A2" s="23" t="inlineStr">
        <is>
          <t>Purpose</t>
        </is>
      </c>
      <c r="B2" s="23" t="inlineStr">
        <is>
          <t>Excel-based teaching dashboard for tracking grades, class performance, and learning outcomes.</t>
        </is>
      </c>
    </row>
    <row r="3">
      <c r="A3" s="23" t="inlineStr">
        <is>
          <t>1. Student Data</t>
        </is>
      </c>
      <c r="B3" s="23" t="inlineStr">
        <is>
          <t>Add or edit student records in the Student Data sheet.</t>
        </is>
      </c>
    </row>
    <row r="4">
      <c r="A4" s="23" t="inlineStr">
        <is>
          <t>2. Grade Tracker</t>
        </is>
      </c>
      <c r="B4" s="23" t="inlineStr">
        <is>
          <t>Enter scores from 0–100. Final Score, Grade, and Status are calculated automatically.</t>
        </is>
      </c>
    </row>
    <row r="5">
      <c r="A5" s="23" t="inlineStr">
        <is>
          <t>3. Learning Outcome</t>
        </is>
      </c>
      <c r="B5" s="23" t="inlineStr">
        <is>
          <t>Update learning outcome averages and review achievement/status.</t>
        </is>
      </c>
    </row>
    <row r="6">
      <c r="A6" s="23" t="inlineStr">
        <is>
          <t>4. Dashboard</t>
        </is>
      </c>
      <c r="B6" s="23" t="inlineStr">
        <is>
          <t>Use the Dashboard as the visual summary for class discussions and evaluation.</t>
        </is>
      </c>
    </row>
    <row r="7">
      <c r="A7" s="23" t="inlineStr">
        <is>
          <t>Scoring Weights</t>
        </is>
      </c>
      <c r="B7" s="23" t="inlineStr">
        <is>
          <t>Assignment 20% + Quiz 20% + Practical 20% + Midterm 15% + Final Exam 25%.</t>
        </is>
      </c>
    </row>
    <row r="8">
      <c r="A8" s="23" t="inlineStr">
        <is>
          <t>Grade Rules</t>
        </is>
      </c>
      <c r="B8" s="23" t="inlineStr">
        <is>
          <t>A ≥ 90, B ≥ 80, C ≥ 70, D ≥ 60, F &lt; 60.</t>
        </is>
      </c>
    </row>
    <row r="9">
      <c r="A9" s="23" t="inlineStr">
        <is>
          <t>Status Rules</t>
        </is>
      </c>
      <c r="B9" s="23" t="inlineStr">
        <is>
          <t>Passed ≥ 70, Remedial 60–69, Fail &lt; 60.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2026-09-22T17:14:01Z</dcterms:created>
  <dcterms:modified xmlns:dcterms="http://purl.org/dc/terms/" xmlns:xsi="http://www.w3.org/2001/XMLSchema-instance" xsi:type="dcterms:W3CDTF">2026-09-22T17:14:01Z</dcterms:modified>
</cp:coreProperties>
</file>